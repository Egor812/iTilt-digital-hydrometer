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3395" windowHeight="1209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K51" i="1" l="1"/>
  <c r="E51" i="1"/>
  <c r="C51" i="1"/>
  <c r="G51" i="1" s="1"/>
  <c r="I51" i="1" s="1"/>
  <c r="K50" i="1"/>
  <c r="E50" i="1"/>
  <c r="C50" i="1" s="1"/>
  <c r="G50" i="1" s="1"/>
  <c r="I50" i="1" s="1"/>
  <c r="K49" i="1"/>
  <c r="E49" i="1"/>
  <c r="C49" i="1" s="1"/>
  <c r="G49" i="1" s="1"/>
  <c r="I49" i="1" s="1"/>
  <c r="G44" i="1"/>
  <c r="I44" i="1"/>
  <c r="C45" i="1"/>
  <c r="G45" i="1" s="1"/>
  <c r="I45" i="1" s="1"/>
  <c r="E45" i="1"/>
  <c r="K45" i="1"/>
  <c r="E46" i="1"/>
  <c r="K46" i="1"/>
  <c r="E47" i="1"/>
  <c r="K47" i="1"/>
  <c r="E48" i="1"/>
  <c r="K48" i="1"/>
  <c r="K40" i="1"/>
  <c r="G40" i="1"/>
  <c r="I40" i="1" s="1"/>
  <c r="E40" i="1"/>
  <c r="C40" i="1"/>
  <c r="K39" i="1"/>
  <c r="E39" i="1"/>
  <c r="C39" i="1"/>
  <c r="G39" i="1" s="1"/>
  <c r="I39" i="1" s="1"/>
  <c r="K38" i="1"/>
  <c r="E38" i="1"/>
  <c r="C38" i="1"/>
  <c r="G38" i="1" s="1"/>
  <c r="I38" i="1" s="1"/>
  <c r="E15" i="1"/>
  <c r="C15" i="1" s="1"/>
  <c r="G15" i="1" s="1"/>
  <c r="I15" i="1" s="1"/>
  <c r="K15" i="1"/>
  <c r="E16" i="1"/>
  <c r="K16" i="1"/>
  <c r="E17" i="1"/>
  <c r="K17" i="1"/>
  <c r="K29" i="1"/>
  <c r="E29" i="1"/>
  <c r="C29" i="1" s="1"/>
  <c r="G29" i="1" s="1"/>
  <c r="I29" i="1" s="1"/>
  <c r="K28" i="1"/>
  <c r="E28" i="1"/>
  <c r="C28" i="1" s="1"/>
  <c r="G28" i="1" s="1"/>
  <c r="I28" i="1" s="1"/>
  <c r="K27" i="1"/>
  <c r="E27" i="1"/>
  <c r="C27" i="1"/>
  <c r="G27" i="1" s="1"/>
  <c r="I27" i="1" s="1"/>
  <c r="K26" i="1"/>
  <c r="E26" i="1"/>
  <c r="C26" i="1" s="1"/>
  <c r="G26" i="1" s="1"/>
  <c r="I26" i="1" s="1"/>
  <c r="K25" i="1"/>
  <c r="E25" i="1"/>
  <c r="K24" i="1"/>
  <c r="E24" i="1"/>
  <c r="K23" i="1"/>
  <c r="E23" i="1"/>
  <c r="K22" i="1"/>
  <c r="E22" i="1"/>
  <c r="C22" i="1" s="1"/>
  <c r="G21" i="1"/>
  <c r="I21" i="1" s="1"/>
  <c r="K37" i="1"/>
  <c r="E37" i="1"/>
  <c r="K36" i="1"/>
  <c r="E36" i="1"/>
  <c r="K35" i="1"/>
  <c r="E35" i="1"/>
  <c r="K34" i="1"/>
  <c r="E34" i="1"/>
  <c r="C34" i="1"/>
  <c r="G34" i="1" s="1"/>
  <c r="I34" i="1" s="1"/>
  <c r="G33" i="1"/>
  <c r="I33" i="1" s="1"/>
  <c r="E14" i="1"/>
  <c r="C14" i="1" s="1"/>
  <c r="G14" i="1" s="1"/>
  <c r="I14" i="1" s="1"/>
  <c r="K14" i="1"/>
  <c r="K12" i="1"/>
  <c r="K13" i="1"/>
  <c r="K11" i="1"/>
  <c r="E13" i="1"/>
  <c r="E12" i="1"/>
  <c r="G10" i="1"/>
  <c r="I10" i="1" s="1"/>
  <c r="E11" i="1"/>
  <c r="C11" i="1" s="1"/>
  <c r="G11" i="1" s="1"/>
  <c r="I11" i="1" s="1"/>
  <c r="C46" i="1" l="1"/>
  <c r="G46" i="1" s="1"/>
  <c r="I46" i="1" s="1"/>
  <c r="C16" i="1"/>
  <c r="G16" i="1" s="1"/>
  <c r="I16" i="1" s="1"/>
  <c r="G22" i="1"/>
  <c r="I22" i="1" s="1"/>
  <c r="C23" i="1"/>
  <c r="C35" i="1"/>
  <c r="G35" i="1" s="1"/>
  <c r="I35" i="1" s="1"/>
  <c r="C36" i="1"/>
  <c r="G36" i="1" s="1"/>
  <c r="I36" i="1" s="1"/>
  <c r="C12" i="1"/>
  <c r="G12" i="1" s="1"/>
  <c r="I12" i="1" s="1"/>
  <c r="C47" i="1" l="1"/>
  <c r="G47" i="1" s="1"/>
  <c r="I47" i="1" s="1"/>
  <c r="C48" i="1"/>
  <c r="G48" i="1" s="1"/>
  <c r="I48" i="1" s="1"/>
  <c r="C37" i="1"/>
  <c r="G37" i="1" s="1"/>
  <c r="I37" i="1" s="1"/>
  <c r="C17" i="1"/>
  <c r="G17" i="1" s="1"/>
  <c r="I17" i="1" s="1"/>
  <c r="G23" i="1"/>
  <c r="I23" i="1" s="1"/>
  <c r="C24" i="1"/>
  <c r="C13" i="1"/>
  <c r="G13" i="1" s="1"/>
  <c r="I13" i="1" s="1"/>
  <c r="G24" i="1" l="1"/>
  <c r="I24" i="1" s="1"/>
  <c r="C25" i="1"/>
  <c r="G25" i="1" s="1"/>
  <c r="I25" i="1" s="1"/>
</calcChain>
</file>

<file path=xl/sharedStrings.xml><?xml version="1.0" encoding="utf-8"?>
<sst xmlns="http://schemas.openxmlformats.org/spreadsheetml/2006/main" count="34" uniqueCount="19">
  <si>
    <t>dissolved solids (g/L) = gravity * (brix * 10)</t>
  </si>
  <si>
    <r>
      <t>brix = 143.254 * sg^</t>
    </r>
    <r>
      <rPr>
        <sz val="7"/>
        <color rgb="FF444444"/>
        <rFont val="Arial"/>
        <family val="2"/>
        <charset val="204"/>
      </rPr>
      <t>3</t>
    </r>
    <r>
      <rPr>
        <sz val="10"/>
        <color rgb="FF444444"/>
        <rFont val="Arial"/>
        <family val="2"/>
        <charset val="204"/>
      </rPr>
      <t> - 648.670 * sg^</t>
    </r>
    <r>
      <rPr>
        <sz val="7"/>
        <color rgb="FF444444"/>
        <rFont val="Arial"/>
        <family val="2"/>
        <charset val="204"/>
      </rPr>
      <t>2</t>
    </r>
    <r>
      <rPr>
        <sz val="10"/>
        <color rgb="FF444444"/>
        <rFont val="Arial"/>
        <family val="2"/>
        <charset val="204"/>
      </rPr>
      <t> + 1125.805 * sg - 620.389</t>
    </r>
  </si>
  <si>
    <t>DS=10*SG*(143.254 * sg^3 - 648.670 * sg^2 + 1125.805 * sg - 620.389)</t>
  </si>
  <si>
    <t>sugar</t>
  </si>
  <si>
    <t>volume</t>
  </si>
  <si>
    <t>DS g/L</t>
  </si>
  <si>
    <t>SG</t>
  </si>
  <si>
    <t>0,5 ~ 0,00019</t>
  </si>
  <si>
    <t>1,26 ~ 0,00048</t>
  </si>
  <si>
    <t>ПОДБОР КАЛИБРОВОЧНЫХ МИКСОВ</t>
  </si>
  <si>
    <t>Ищем набор с SG ближайщим к 1.XXX</t>
  </si>
  <si>
    <t>замена</t>
  </si>
  <si>
    <t>отклонение</t>
  </si>
  <si>
    <t>шаг SG</t>
  </si>
  <si>
    <t>Отклонение ~ SG</t>
  </si>
  <si>
    <t>Изначальный набор iTilt</t>
  </si>
  <si>
    <t>Неплохой набор из 9 замеров с увеличенным набором замеров в низах</t>
  </si>
  <si>
    <t>Неплохой набор из 8 замеров с увеличенным набором замеров в низах. И экономим 20г сахара</t>
  </si>
  <si>
    <t>Неплохой набор из 8 замеров с увеличенным набором замеров в низах. И экономим 70г сахара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</si>
</sst>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0"/>
      <color rgb="FF444444"/>
      <name val="Arial"/>
      <family val="2"/>
      <charset val="204"/>
    </font>
    <font>
      <sz val="7"/>
      <color rgb="FF444444"/>
      <name val="Arial"/>
      <family val="2"/>
      <charset val="204"/>
    </font>
    <font>
      <sz val="11"/>
      <color theme="1" tint="0.499984740745262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2">
    <xf numFmtId="0" fontId="0" fillId="0" borderId="0" xfId="0"/>
    <xf numFmtId="0" fontId="4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6" fillId="0" borderId="2" xfId="0" applyFont="1" applyBorder="1"/>
    <xf numFmtId="0" fontId="3" fillId="4" borderId="2" xfId="3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6" fillId="0" borderId="0" xfId="0" applyFont="1" applyBorder="1"/>
    <xf numFmtId="0" fontId="1" fillId="2" borderId="0" xfId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7" xfId="0" applyFont="1" applyBorder="1"/>
    <xf numFmtId="0" fontId="1" fillId="2" borderId="7" xfId="1" applyBorder="1"/>
    <xf numFmtId="0" fontId="0" fillId="0" borderId="8" xfId="0" applyBorder="1"/>
    <xf numFmtId="0" fontId="1" fillId="5" borderId="0" xfId="1" applyFill="1" applyBorder="1"/>
    <xf numFmtId="0" fontId="3" fillId="4" borderId="0" xfId="3" applyBorder="1"/>
    <xf numFmtId="0" fontId="2" fillId="3" borderId="0" xfId="2" applyBorder="1"/>
    <xf numFmtId="0" fontId="3" fillId="4" borderId="7" xfId="3" applyBorder="1"/>
  </cellXfs>
  <cellStyles count="4"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activeCell="Q13" sqref="Q13"/>
    </sheetView>
  </sheetViews>
  <sheetFormatPr defaultRowHeight="15" x14ac:dyDescent="0.25"/>
  <cols>
    <col min="5" max="5" width="9.140625" style="2" customWidth="1"/>
  </cols>
  <sheetData>
    <row r="1" spans="1:11" x14ac:dyDescent="0.25">
      <c r="A1" t="s">
        <v>9</v>
      </c>
    </row>
    <row r="2" spans="1:11" x14ac:dyDescent="0.25">
      <c r="A2" t="s">
        <v>10</v>
      </c>
    </row>
    <row r="4" spans="1:11" x14ac:dyDescent="0.25">
      <c r="A4" s="1" t="s">
        <v>0</v>
      </c>
      <c r="I4" t="s">
        <v>14</v>
      </c>
    </row>
    <row r="5" spans="1:11" x14ac:dyDescent="0.25">
      <c r="A5" s="1" t="s">
        <v>1</v>
      </c>
      <c r="I5" t="s">
        <v>7</v>
      </c>
    </row>
    <row r="6" spans="1:11" x14ac:dyDescent="0.25">
      <c r="A6" t="s">
        <v>2</v>
      </c>
      <c r="I6" t="s">
        <v>8</v>
      </c>
    </row>
    <row r="8" spans="1:11" x14ac:dyDescent="0.25">
      <c r="A8" t="s">
        <v>15</v>
      </c>
    </row>
    <row r="9" spans="1:11" ht="15.75" thickBot="1" x14ac:dyDescent="0.3">
      <c r="B9" t="s">
        <v>11</v>
      </c>
      <c r="C9" t="s">
        <v>3</v>
      </c>
      <c r="D9" t="s">
        <v>4</v>
      </c>
      <c r="G9" t="s">
        <v>5</v>
      </c>
      <c r="H9" t="s">
        <v>6</v>
      </c>
      <c r="I9" t="s">
        <v>12</v>
      </c>
      <c r="K9" t="s">
        <v>13</v>
      </c>
    </row>
    <row r="10" spans="1:11" x14ac:dyDescent="0.25">
      <c r="A10" s="3">
        <v>1</v>
      </c>
      <c r="B10" s="4"/>
      <c r="C10" s="4">
        <v>550</v>
      </c>
      <c r="D10" s="4">
        <v>2.5</v>
      </c>
      <c r="E10" s="5"/>
      <c r="F10" s="4"/>
      <c r="G10" s="4">
        <f>C10/D10</f>
        <v>220</v>
      </c>
      <c r="H10" s="4">
        <v>1.0840000000000001</v>
      </c>
      <c r="I10" s="6">
        <f>10*H10*(143.254*H10^3-648.67*H10^2+1125.805*H10-620.389)-G10</f>
        <v>-0.69205358035341646</v>
      </c>
      <c r="J10" s="4"/>
      <c r="K10" s="7"/>
    </row>
    <row r="11" spans="1:11" x14ac:dyDescent="0.25">
      <c r="A11" s="8">
        <v>2</v>
      </c>
      <c r="B11" s="9">
        <v>-0.6</v>
      </c>
      <c r="C11" s="9">
        <f>E11*C10/D10</f>
        <v>418</v>
      </c>
      <c r="D11" s="9">
        <v>2.5</v>
      </c>
      <c r="E11" s="10">
        <f>2.5+B11</f>
        <v>1.9</v>
      </c>
      <c r="F11" s="9"/>
      <c r="G11" s="9">
        <f>C11/D11</f>
        <v>167.2</v>
      </c>
      <c r="H11" s="9">
        <v>1.0640000000000001</v>
      </c>
      <c r="I11" s="18">
        <f>10*H11*(143.254*H11^3-648.67*H11^2+1125.805*H11-620.389)-G11</f>
        <v>-0.49850214875093002</v>
      </c>
      <c r="J11" s="9"/>
      <c r="K11" s="12">
        <f>H10-H11</f>
        <v>2.0000000000000018E-2</v>
      </c>
    </row>
    <row r="12" spans="1:11" x14ac:dyDescent="0.25">
      <c r="A12" s="8">
        <v>3</v>
      </c>
      <c r="B12" s="9">
        <v>-0.7</v>
      </c>
      <c r="C12" s="9">
        <f>E12*C11/D11</f>
        <v>300.95999999999998</v>
      </c>
      <c r="D12" s="9">
        <v>2.5</v>
      </c>
      <c r="E12" s="10">
        <f>2.5+B12</f>
        <v>1.8</v>
      </c>
      <c r="F12" s="9"/>
      <c r="G12" s="9">
        <f>C12/D12</f>
        <v>120.38399999999999</v>
      </c>
      <c r="H12" s="9">
        <v>1.046</v>
      </c>
      <c r="I12" s="19">
        <f>10*H12*(143.254*H12^3-648.67*H12^2+1125.805*H12-620.389)-G12</f>
        <v>-0.83481440262198703</v>
      </c>
      <c r="J12" s="9"/>
      <c r="K12" s="12">
        <f t="shared" ref="K12:K13" si="0">H11-H12</f>
        <v>1.8000000000000016E-2</v>
      </c>
    </row>
    <row r="13" spans="1:11" x14ac:dyDescent="0.25">
      <c r="A13" s="8">
        <v>4</v>
      </c>
      <c r="B13" s="9">
        <v>-0.8</v>
      </c>
      <c r="C13" s="9">
        <f>E13*C12/D12</f>
        <v>204.65279999999998</v>
      </c>
      <c r="D13" s="9">
        <v>2.5</v>
      </c>
      <c r="E13" s="10">
        <f>2.5+B13</f>
        <v>1.7</v>
      </c>
      <c r="F13" s="9"/>
      <c r="G13" s="9">
        <f>C13/D13</f>
        <v>81.86112</v>
      </c>
      <c r="H13" s="9">
        <v>1.032</v>
      </c>
      <c r="I13" s="20">
        <f>10*H13*(143.254*H13^3-648.67*H13^2+1125.805*H13-620.389)-G13</f>
        <v>1.1508583843442608</v>
      </c>
      <c r="J13" s="9"/>
      <c r="K13" s="12">
        <f t="shared" si="0"/>
        <v>1.4000000000000012E-2</v>
      </c>
    </row>
    <row r="14" spans="1:11" x14ac:dyDescent="0.25">
      <c r="A14" s="8">
        <v>5</v>
      </c>
      <c r="B14" s="9">
        <v>-0.9</v>
      </c>
      <c r="C14" s="9">
        <f>E14*C13/D13</f>
        <v>130.97779199999999</v>
      </c>
      <c r="D14" s="9">
        <v>2.5</v>
      </c>
      <c r="E14" s="10">
        <f>2.5+B14</f>
        <v>1.6</v>
      </c>
      <c r="F14" s="9"/>
      <c r="G14" s="9">
        <f>C14/D14</f>
        <v>52.391116799999999</v>
      </c>
      <c r="H14" s="9">
        <v>1.02</v>
      </c>
      <c r="I14" s="19">
        <f>10*H14*(143.254*H14^3-648.67*H14^2+1125.805*H14-620.389)-G14</f>
        <v>-0.59426391359922093</v>
      </c>
      <c r="J14" s="9"/>
      <c r="K14" s="12">
        <f t="shared" ref="K14" si="1">H13-H14</f>
        <v>1.2000000000000011E-2</v>
      </c>
    </row>
    <row r="15" spans="1:11" x14ac:dyDescent="0.25">
      <c r="A15" s="8">
        <v>6</v>
      </c>
      <c r="B15" s="9">
        <v>-1.1000000000000001</v>
      </c>
      <c r="C15" s="9">
        <f t="shared" ref="C15:C17" si="2">E15*C14/D14</f>
        <v>73.347563519999994</v>
      </c>
      <c r="D15" s="9">
        <v>2.5</v>
      </c>
      <c r="E15" s="10">
        <f t="shared" ref="E15:E17" si="3">2.5+B15</f>
        <v>1.4</v>
      </c>
      <c r="F15" s="9"/>
      <c r="G15" s="9">
        <f t="shared" ref="G15:G17" si="4">C15/D15</f>
        <v>29.339025407999998</v>
      </c>
      <c r="H15" s="9">
        <v>1.0109999999999999</v>
      </c>
      <c r="I15" s="19">
        <f t="shared" ref="I15:I17" si="5">10*H15*(143.254*H15^3-648.67*H15^2+1125.805*H15-620.389)-G15</f>
        <v>-0.88746539892110121</v>
      </c>
      <c r="J15" s="9"/>
      <c r="K15" s="12">
        <f t="shared" ref="K15:K17" si="6">H14-H15</f>
        <v>9.000000000000119E-3</v>
      </c>
    </row>
    <row r="16" spans="1:11" x14ac:dyDescent="0.25">
      <c r="A16" s="8">
        <v>7</v>
      </c>
      <c r="B16" s="9">
        <v>-1.3</v>
      </c>
      <c r="C16" s="9">
        <f t="shared" si="2"/>
        <v>35.206830489599994</v>
      </c>
      <c r="D16" s="9">
        <v>2.5</v>
      </c>
      <c r="E16" s="10">
        <f t="shared" si="3"/>
        <v>1.2</v>
      </c>
      <c r="F16" s="9"/>
      <c r="G16" s="9">
        <f t="shared" si="4"/>
        <v>14.082732195839998</v>
      </c>
      <c r="H16" s="9">
        <v>1.0049999999999999</v>
      </c>
      <c r="I16" s="19">
        <f t="shared" si="5"/>
        <v>-1.1616461180009168</v>
      </c>
      <c r="J16" s="9"/>
      <c r="K16" s="12">
        <f t="shared" si="6"/>
        <v>6.0000000000000053E-3</v>
      </c>
    </row>
    <row r="17" spans="1:11" ht="15.75" thickBot="1" x14ac:dyDescent="0.3">
      <c r="A17" s="13">
        <v>8</v>
      </c>
      <c r="B17" s="14">
        <v>-2.5</v>
      </c>
      <c r="C17" s="14">
        <f t="shared" si="2"/>
        <v>0</v>
      </c>
      <c r="D17" s="14">
        <v>2.5</v>
      </c>
      <c r="E17" s="15">
        <f t="shared" si="3"/>
        <v>0</v>
      </c>
      <c r="F17" s="14"/>
      <c r="G17" s="14">
        <f t="shared" si="4"/>
        <v>0</v>
      </c>
      <c r="H17" s="14">
        <v>1</v>
      </c>
      <c r="I17" s="21">
        <f t="shared" si="5"/>
        <v>1.1368683772161603E-12</v>
      </c>
      <c r="J17" s="14"/>
      <c r="K17" s="17">
        <f t="shared" si="6"/>
        <v>4.9999999999998934E-3</v>
      </c>
    </row>
    <row r="19" spans="1:11" x14ac:dyDescent="0.25">
      <c r="A19" t="s">
        <v>16</v>
      </c>
    </row>
    <row r="20" spans="1:11" ht="15.75" thickBot="1" x14ac:dyDescent="0.3">
      <c r="B20" t="s">
        <v>11</v>
      </c>
      <c r="C20" t="s">
        <v>3</v>
      </c>
      <c r="D20" t="s">
        <v>4</v>
      </c>
      <c r="G20" t="s">
        <v>5</v>
      </c>
      <c r="H20" t="s">
        <v>6</v>
      </c>
      <c r="I20" t="s">
        <v>12</v>
      </c>
      <c r="K20" t="s">
        <v>13</v>
      </c>
    </row>
    <row r="21" spans="1:11" x14ac:dyDescent="0.25">
      <c r="A21" s="3">
        <v>1</v>
      </c>
      <c r="B21" s="4"/>
      <c r="C21" s="4">
        <v>550</v>
      </c>
      <c r="D21" s="4">
        <v>2.5</v>
      </c>
      <c r="E21" s="5"/>
      <c r="F21" s="4"/>
      <c r="G21" s="4">
        <f>C21/D21</f>
        <v>220</v>
      </c>
      <c r="H21" s="4">
        <v>1.0840000000000001</v>
      </c>
      <c r="I21" s="6">
        <f>10*H21*(143.254*H21^3-648.67*H21^2+1125.805*H21-620.389)-G21</f>
        <v>-0.69205358035341646</v>
      </c>
      <c r="J21" s="4"/>
      <c r="K21" s="7"/>
    </row>
    <row r="22" spans="1:11" x14ac:dyDescent="0.25">
      <c r="A22" s="8">
        <v>2</v>
      </c>
      <c r="B22" s="9">
        <v>-0.7</v>
      </c>
      <c r="C22" s="9">
        <f>E22*C21/D21</f>
        <v>396</v>
      </c>
      <c r="D22" s="9">
        <v>2.5</v>
      </c>
      <c r="E22" s="10">
        <f>2.5+B22</f>
        <v>1.8</v>
      </c>
      <c r="F22" s="9"/>
      <c r="G22" s="9">
        <f>C22/D22</f>
        <v>158.4</v>
      </c>
      <c r="H22" s="9">
        <v>1.0609999999999999</v>
      </c>
      <c r="I22" s="18">
        <f>10*H22*(143.254*H22^3-648.67*H22^2+1125.805*H22-620.389)-G22</f>
        <v>0.42964450532502951</v>
      </c>
      <c r="J22" s="9"/>
      <c r="K22" s="12">
        <f>H21-H22</f>
        <v>2.3000000000000131E-2</v>
      </c>
    </row>
    <row r="23" spans="1:11" x14ac:dyDescent="0.25">
      <c r="A23" s="8">
        <v>3</v>
      </c>
      <c r="B23" s="9">
        <v>-0.7</v>
      </c>
      <c r="C23" s="9">
        <f>E23*C22/D22</f>
        <v>285.12</v>
      </c>
      <c r="D23" s="9">
        <v>2.5</v>
      </c>
      <c r="E23" s="10">
        <f>2.5+B23</f>
        <v>1.8</v>
      </c>
      <c r="F23" s="9"/>
      <c r="G23" s="9">
        <f>C23/D23</f>
        <v>114.048</v>
      </c>
      <c r="H23" s="9">
        <v>1.044</v>
      </c>
      <c r="I23" s="11">
        <f>10*H23*(143.254*H23^3-648.67*H23^2+1125.805*H23-620.389)-G23</f>
        <v>0.27402003408663234</v>
      </c>
      <c r="J23" s="9"/>
      <c r="K23" s="12">
        <f t="shared" ref="K23:K25" si="7">H22-H23</f>
        <v>1.6999999999999904E-2</v>
      </c>
    </row>
    <row r="24" spans="1:11" x14ac:dyDescent="0.25">
      <c r="A24" s="8">
        <v>4</v>
      </c>
      <c r="B24" s="9">
        <v>-0.8</v>
      </c>
      <c r="C24" s="9">
        <f>E24*C23/D23</f>
        <v>193.88159999999999</v>
      </c>
      <c r="D24" s="9">
        <v>2.5</v>
      </c>
      <c r="E24" s="10">
        <f>2.5+B24</f>
        <v>1.7</v>
      </c>
      <c r="F24" s="9"/>
      <c r="G24" s="9">
        <f>C24/D24</f>
        <v>77.552639999999997</v>
      </c>
      <c r="H24" s="9">
        <v>1.03</v>
      </c>
      <c r="I24" s="11">
        <f>10*H24*(143.254*H24^3-648.67*H24^2+1125.805*H24-620.389)-G24</f>
        <v>0.25006477740014077</v>
      </c>
      <c r="J24" s="9"/>
      <c r="K24" s="12">
        <f t="shared" si="7"/>
        <v>1.4000000000000012E-2</v>
      </c>
    </row>
    <row r="25" spans="1:11" x14ac:dyDescent="0.25">
      <c r="A25" s="8">
        <v>5</v>
      </c>
      <c r="B25" s="9">
        <v>-0.9</v>
      </c>
      <c r="C25" s="9">
        <f>E25*C24/D24</f>
        <v>124.08422399999999</v>
      </c>
      <c r="D25" s="9">
        <v>2.5</v>
      </c>
      <c r="E25" s="10">
        <f>2.5+B25</f>
        <v>1.6</v>
      </c>
      <c r="F25" s="9"/>
      <c r="G25" s="9">
        <f>C25/D25</f>
        <v>49.633689599999997</v>
      </c>
      <c r="H25" s="9">
        <v>1.0189999999999999</v>
      </c>
      <c r="I25" s="18">
        <f>10*H25*(143.254*H25^3-648.67*H25^2+1125.805*H25-620.389)-G25</f>
        <v>-0.43362042781448906</v>
      </c>
      <c r="J25" s="9"/>
      <c r="K25" s="12">
        <f t="shared" si="7"/>
        <v>1.1000000000000121E-2</v>
      </c>
    </row>
    <row r="26" spans="1:11" x14ac:dyDescent="0.25">
      <c r="A26" s="8">
        <v>6</v>
      </c>
      <c r="B26" s="9">
        <v>-0.8</v>
      </c>
      <c r="C26" s="9">
        <f>E26*C25/D25</f>
        <v>84.377272320000003</v>
      </c>
      <c r="D26" s="9">
        <v>2.5</v>
      </c>
      <c r="E26" s="10">
        <f>2.5+B26</f>
        <v>1.7</v>
      </c>
      <c r="F26" s="9"/>
      <c r="G26" s="9">
        <f>C26/D26</f>
        <v>33.750908928000001</v>
      </c>
      <c r="H26" s="9">
        <v>1.0129999999999999</v>
      </c>
      <c r="I26" s="11">
        <f>10*H26*(143.254*H26^3-648.67*H26^2+1125.805*H26-620.389)-G26</f>
        <v>-0.11657102160572919</v>
      </c>
      <c r="J26" s="9"/>
      <c r="K26" s="12">
        <f t="shared" ref="K26" si="8">H25-H26</f>
        <v>6.0000000000000053E-3</v>
      </c>
    </row>
    <row r="27" spans="1:11" x14ac:dyDescent="0.25">
      <c r="A27" s="8">
        <v>7</v>
      </c>
      <c r="B27" s="9">
        <v>-1</v>
      </c>
      <c r="C27" s="9">
        <f>E27*C26/D26</f>
        <v>50.626363392000002</v>
      </c>
      <c r="D27" s="9">
        <v>2.5</v>
      </c>
      <c r="E27" s="10">
        <f>2.5+B27</f>
        <v>1.5</v>
      </c>
      <c r="F27" s="9"/>
      <c r="G27" s="9">
        <f>C27/D27</f>
        <v>20.2505453568</v>
      </c>
      <c r="H27" s="9">
        <v>1.008</v>
      </c>
      <c r="I27" s="18">
        <f>10*H27*(143.254*H27^3-648.67*H27^2+1125.805*H27-620.389)-G27</f>
        <v>0.43239732240600759</v>
      </c>
      <c r="J27" s="9"/>
      <c r="K27" s="12">
        <f t="shared" ref="K27" si="9">H26-H27</f>
        <v>4.9999999999998934E-3</v>
      </c>
    </row>
    <row r="28" spans="1:11" x14ac:dyDescent="0.25">
      <c r="A28" s="8">
        <v>8</v>
      </c>
      <c r="B28" s="9">
        <v>-1.2</v>
      </c>
      <c r="C28" s="9">
        <f>E28*C27/D27</f>
        <v>26.325708963840004</v>
      </c>
      <c r="D28" s="9">
        <v>2.5</v>
      </c>
      <c r="E28" s="10">
        <f>2.5+B28</f>
        <v>1.3</v>
      </c>
      <c r="F28" s="9"/>
      <c r="G28" s="9">
        <f>C28/D28</f>
        <v>10.530283585536001</v>
      </c>
      <c r="H28" s="9">
        <v>1.004</v>
      </c>
      <c r="I28" s="11">
        <f>10*H28*(143.254*H28^3-648.67*H28^2+1125.805*H28-620.389)-G28</f>
        <v>-0.1949605973652595</v>
      </c>
      <c r="J28" s="9"/>
      <c r="K28" s="12">
        <f t="shared" ref="K28" si="10">H27-H28</f>
        <v>4.0000000000000036E-3</v>
      </c>
    </row>
    <row r="29" spans="1:11" ht="15.75" thickBot="1" x14ac:dyDescent="0.3">
      <c r="A29" s="13">
        <v>9</v>
      </c>
      <c r="B29" s="14">
        <v>-2.5</v>
      </c>
      <c r="C29" s="14">
        <f>E29*C28/D28</f>
        <v>0</v>
      </c>
      <c r="D29" s="14">
        <v>2.5</v>
      </c>
      <c r="E29" s="15">
        <f>2.5+B29</f>
        <v>0</v>
      </c>
      <c r="F29" s="14"/>
      <c r="G29" s="14">
        <f>C29/D29</f>
        <v>0</v>
      </c>
      <c r="H29" s="14">
        <v>1</v>
      </c>
      <c r="I29" s="16">
        <f>10*H29*(143.254*H29^3-648.67*H29^2+1125.805*H29-620.389)-G29</f>
        <v>1.1368683772161603E-12</v>
      </c>
      <c r="J29" s="14"/>
      <c r="K29" s="17">
        <f t="shared" ref="K29" si="11">H28-H29</f>
        <v>4.0000000000000036E-3</v>
      </c>
    </row>
    <row r="31" spans="1:11" x14ac:dyDescent="0.25">
      <c r="A31" t="s">
        <v>17</v>
      </c>
    </row>
    <row r="32" spans="1:11" ht="15.75" thickBot="1" x14ac:dyDescent="0.3">
      <c r="C32" t="s">
        <v>3</v>
      </c>
      <c r="D32" t="s">
        <v>4</v>
      </c>
      <c r="G32" t="s">
        <v>5</v>
      </c>
      <c r="H32" t="s">
        <v>6</v>
      </c>
    </row>
    <row r="33" spans="1:11" x14ac:dyDescent="0.25">
      <c r="A33" s="3">
        <v>1</v>
      </c>
      <c r="B33" s="4"/>
      <c r="C33" s="4">
        <v>530</v>
      </c>
      <c r="D33" s="4">
        <v>2.5</v>
      </c>
      <c r="E33" s="5"/>
      <c r="F33" s="4"/>
      <c r="G33" s="4">
        <f>C33/D33</f>
        <v>212</v>
      </c>
      <c r="H33" s="4">
        <v>1.081</v>
      </c>
      <c r="I33" s="6">
        <f>10*H33*(143.254*H33^3-648.67*H33^2+1125.805*H33-620.389)-G33</f>
        <v>-0.5968006344400294</v>
      </c>
      <c r="J33" s="4"/>
      <c r="K33" s="7"/>
    </row>
    <row r="34" spans="1:11" x14ac:dyDescent="0.25">
      <c r="A34" s="8">
        <v>2</v>
      </c>
      <c r="B34" s="9">
        <v>-0.6</v>
      </c>
      <c r="C34" s="9">
        <f>E34*C33/D33</f>
        <v>402.8</v>
      </c>
      <c r="D34" s="9">
        <v>2.5</v>
      </c>
      <c r="E34" s="10">
        <f>2.5+B34</f>
        <v>1.9</v>
      </c>
      <c r="F34" s="9"/>
      <c r="G34" s="9">
        <f>C34/D34</f>
        <v>161.12</v>
      </c>
      <c r="H34" s="9">
        <v>1.0620000000000001</v>
      </c>
      <c r="I34" s="11">
        <f>10*H34*(143.254*H34^3-648.67*H34^2+1125.805*H34-620.389)-G34</f>
        <v>0.33302538725251907</v>
      </c>
      <c r="J34" s="9"/>
      <c r="K34" s="12">
        <f>H33-H34</f>
        <v>1.8999999999999906E-2</v>
      </c>
    </row>
    <row r="35" spans="1:11" x14ac:dyDescent="0.25">
      <c r="A35" s="8">
        <v>3</v>
      </c>
      <c r="B35" s="9">
        <v>-0.8</v>
      </c>
      <c r="C35" s="9">
        <f>E35*C34/D34</f>
        <v>273.904</v>
      </c>
      <c r="D35" s="9">
        <v>2.5</v>
      </c>
      <c r="E35" s="10">
        <f>2.5+B35</f>
        <v>1.7</v>
      </c>
      <c r="F35" s="9"/>
      <c r="G35" s="9">
        <f>C35/D35</f>
        <v>109.5616</v>
      </c>
      <c r="H35" s="9">
        <v>1.042</v>
      </c>
      <c r="I35" s="18">
        <f>10*H35*(143.254*H35^3-648.67*H35^2+1125.805*H35-620.389)-G35</f>
        <v>-0.46426574652980435</v>
      </c>
      <c r="J35" s="9"/>
      <c r="K35" s="12">
        <f t="shared" ref="K35:K37" si="12">H34-H35</f>
        <v>2.0000000000000018E-2</v>
      </c>
    </row>
    <row r="36" spans="1:11" x14ac:dyDescent="0.25">
      <c r="A36" s="8">
        <v>4</v>
      </c>
      <c r="B36" s="9">
        <v>-0.9</v>
      </c>
      <c r="C36" s="9">
        <f>E36*C35/D35</f>
        <v>175.29856000000001</v>
      </c>
      <c r="D36" s="9">
        <v>2.5</v>
      </c>
      <c r="E36" s="10">
        <f>2.5+B36</f>
        <v>1.6</v>
      </c>
      <c r="F36" s="9"/>
      <c r="G36" s="9">
        <f>C36/D36</f>
        <v>70.119424000000009</v>
      </c>
      <c r="H36" s="9">
        <v>1.0269999999999999</v>
      </c>
      <c r="I36" s="11">
        <f>10*H36*(143.254*H36^3-648.67*H36^2+1125.805*H36-620.389)-G36</f>
        <v>-0.12562815632962554</v>
      </c>
      <c r="J36" s="9"/>
      <c r="K36" s="12">
        <f t="shared" si="12"/>
        <v>1.5000000000000124E-2</v>
      </c>
    </row>
    <row r="37" spans="1:11" x14ac:dyDescent="0.25">
      <c r="A37" s="8">
        <v>5</v>
      </c>
      <c r="B37" s="9">
        <v>-1.1000000000000001</v>
      </c>
      <c r="C37" s="9">
        <f>E37*C36/D36</f>
        <v>98.16719359999999</v>
      </c>
      <c r="D37" s="9">
        <v>2.5</v>
      </c>
      <c r="E37" s="10">
        <f>2.5+B37</f>
        <v>1.4</v>
      </c>
      <c r="F37" s="9"/>
      <c r="G37" s="9">
        <f>C37/D37</f>
        <v>39.266877439999995</v>
      </c>
      <c r="H37" s="9">
        <v>1.0149999999999999</v>
      </c>
      <c r="I37" s="18">
        <f>10*H37*(143.254*H37^3-648.67*H37^2+1125.805*H37-620.389)-G37</f>
        <v>-0.44684049016068172</v>
      </c>
      <c r="J37" s="9"/>
      <c r="K37" s="12">
        <f t="shared" si="12"/>
        <v>1.2000000000000011E-2</v>
      </c>
    </row>
    <row r="38" spans="1:11" x14ac:dyDescent="0.25">
      <c r="A38" s="8">
        <v>6</v>
      </c>
      <c r="B38" s="9">
        <v>-1</v>
      </c>
      <c r="C38" s="9">
        <f>E38*C37/D37</f>
        <v>58.900316159999988</v>
      </c>
      <c r="D38" s="9">
        <v>2.5</v>
      </c>
      <c r="E38" s="10">
        <f>2.5+B38</f>
        <v>1.5</v>
      </c>
      <c r="F38" s="9"/>
      <c r="G38" s="9">
        <f>C38/D38</f>
        <v>23.560126463999996</v>
      </c>
      <c r="H38" s="9">
        <v>1.0089999999999999</v>
      </c>
      <c r="I38" s="11">
        <f>10*H38*(143.254*H38^3-648.67*H38^2+1125.805*H38-620.389)-G38</f>
        <v>-0.2883901927664887</v>
      </c>
      <c r="J38" s="9"/>
      <c r="K38" s="12">
        <f t="shared" ref="K38" si="13">H37-H38</f>
        <v>6.0000000000000053E-3</v>
      </c>
    </row>
    <row r="39" spans="1:11" x14ac:dyDescent="0.25">
      <c r="A39" s="8">
        <v>7</v>
      </c>
      <c r="B39" s="9">
        <v>-1.1000000000000001</v>
      </c>
      <c r="C39" s="9">
        <f>E39*C38/D38</f>
        <v>32.984177049599992</v>
      </c>
      <c r="D39" s="9">
        <v>2.5</v>
      </c>
      <c r="E39" s="10">
        <f>2.5+B39</f>
        <v>1.4</v>
      </c>
      <c r="F39" s="9"/>
      <c r="G39" s="9">
        <f>C39/D39</f>
        <v>13.193670819839998</v>
      </c>
      <c r="H39" s="9">
        <v>1.0049999999999999</v>
      </c>
      <c r="I39" s="11">
        <f>10*H39*(143.254*H39^3-648.67*H39^2+1125.805*H39-620.389)-G39</f>
        <v>-0.27258474200091598</v>
      </c>
      <c r="J39" s="9"/>
      <c r="K39" s="12">
        <f t="shared" ref="K39:K40" si="14">H38-H39</f>
        <v>4.0000000000000036E-3</v>
      </c>
    </row>
    <row r="40" spans="1:11" ht="15.75" thickBot="1" x14ac:dyDescent="0.3">
      <c r="A40" s="13">
        <v>8</v>
      </c>
      <c r="B40" s="14">
        <v>-2.5</v>
      </c>
      <c r="C40" s="14">
        <f>E40*C39/D39</f>
        <v>0</v>
      </c>
      <c r="D40" s="14">
        <v>2.5</v>
      </c>
      <c r="E40" s="15">
        <f>2.5+B40</f>
        <v>0</v>
      </c>
      <c r="F40" s="14"/>
      <c r="G40" s="14">
        <f>C40/D40</f>
        <v>0</v>
      </c>
      <c r="H40" s="14">
        <v>1</v>
      </c>
      <c r="I40" s="16">
        <f>10*H40*(143.254*H40^3-648.67*H40^2+1125.805*H40-620.389)-G40</f>
        <v>1.1368683772161603E-12</v>
      </c>
      <c r="J40" s="14"/>
      <c r="K40" s="17">
        <f t="shared" si="14"/>
        <v>4.9999999999998934E-3</v>
      </c>
    </row>
    <row r="42" spans="1:11" x14ac:dyDescent="0.25">
      <c r="A42" t="s">
        <v>18</v>
      </c>
    </row>
    <row r="43" spans="1:11" ht="15.75" thickBot="1" x14ac:dyDescent="0.3">
      <c r="C43" t="s">
        <v>3</v>
      </c>
      <c r="D43" t="s">
        <v>4</v>
      </c>
      <c r="G43" t="s">
        <v>5</v>
      </c>
      <c r="H43" t="s">
        <v>6</v>
      </c>
    </row>
    <row r="44" spans="1:11" x14ac:dyDescent="0.25">
      <c r="A44" s="3">
        <v>1</v>
      </c>
      <c r="B44" s="4"/>
      <c r="C44" s="4">
        <v>480</v>
      </c>
      <c r="D44" s="4">
        <v>2.5</v>
      </c>
      <c r="E44" s="5"/>
      <c r="F44" s="4"/>
      <c r="G44" s="4">
        <f>C44/D44</f>
        <v>192</v>
      </c>
      <c r="H44" s="4">
        <v>1.077</v>
      </c>
      <c r="I44" s="6">
        <f>10*H44*(143.254*H44^3-648.67*H44^2+1125.805*H44-620.389)-G44</f>
        <v>8.8709861715353497</v>
      </c>
      <c r="J44" s="4"/>
      <c r="K44" s="7"/>
    </row>
    <row r="45" spans="1:11" x14ac:dyDescent="0.25">
      <c r="A45" s="8">
        <v>2</v>
      </c>
      <c r="B45" s="9">
        <v>-0.6</v>
      </c>
      <c r="C45" s="9">
        <f>E45*C44/D44</f>
        <v>364.8</v>
      </c>
      <c r="D45" s="9">
        <v>2.5</v>
      </c>
      <c r="E45" s="10">
        <f>2.5+B45</f>
        <v>1.9</v>
      </c>
      <c r="F45" s="9"/>
      <c r="G45" s="9">
        <f>C45/D45</f>
        <v>145.92000000000002</v>
      </c>
      <c r="H45" s="9">
        <v>1.056</v>
      </c>
      <c r="I45" s="11">
        <f>10*H45*(143.254*H45^3-648.67*H45^2+1125.805*H45-620.389)-G45</f>
        <v>-0.19860837973783418</v>
      </c>
      <c r="J45" s="9"/>
      <c r="K45" s="12">
        <f>H44-H45</f>
        <v>2.0999999999999908E-2</v>
      </c>
    </row>
    <row r="46" spans="1:11" x14ac:dyDescent="0.25">
      <c r="A46" s="8">
        <v>3</v>
      </c>
      <c r="B46" s="9">
        <v>-0.9</v>
      </c>
      <c r="C46" s="9">
        <f>E46*C45/D45</f>
        <v>233.47200000000004</v>
      </c>
      <c r="D46" s="9">
        <v>2.5</v>
      </c>
      <c r="E46" s="10">
        <f>2.5+B46</f>
        <v>1.6</v>
      </c>
      <c r="F46" s="9"/>
      <c r="G46" s="9">
        <f>C46/D46</f>
        <v>93.388800000000018</v>
      </c>
      <c r="H46" s="9">
        <v>1.036</v>
      </c>
      <c r="I46" s="18">
        <f>10*H46*(143.254*H46^3-648.67*H46^2+1125.805*H46-620.389)-G46</f>
        <v>4.9603226865983174E-2</v>
      </c>
      <c r="J46" s="9"/>
      <c r="K46" s="12">
        <f t="shared" ref="K46:K48" si="15">H45-H46</f>
        <v>2.0000000000000018E-2</v>
      </c>
    </row>
    <row r="47" spans="1:11" x14ac:dyDescent="0.25">
      <c r="A47" s="8">
        <v>4</v>
      </c>
      <c r="B47" s="9">
        <v>-0.9</v>
      </c>
      <c r="C47" s="9">
        <f>E47*C46/D46</f>
        <v>149.42208000000002</v>
      </c>
      <c r="D47" s="9">
        <v>2.5</v>
      </c>
      <c r="E47" s="10">
        <f>2.5+B47</f>
        <v>1.6</v>
      </c>
      <c r="F47" s="9"/>
      <c r="G47" s="9">
        <f>C47/D47</f>
        <v>59.76883200000001</v>
      </c>
      <c r="H47" s="9">
        <v>1.0229999999999999</v>
      </c>
      <c r="I47" s="11">
        <f>10*H47*(143.254*H47^3-648.67*H47^2+1125.805*H47-620.389)-G47</f>
        <v>-0.17742842875200182</v>
      </c>
      <c r="J47" s="9"/>
      <c r="K47" s="12">
        <f t="shared" si="15"/>
        <v>1.3000000000000123E-2</v>
      </c>
    </row>
    <row r="48" spans="1:11" x14ac:dyDescent="0.25">
      <c r="A48" s="8">
        <v>5</v>
      </c>
      <c r="B48" s="9">
        <v>-1</v>
      </c>
      <c r="C48" s="9">
        <f>E48*C47/D47</f>
        <v>89.653248000000005</v>
      </c>
      <c r="D48" s="9">
        <v>2.5</v>
      </c>
      <c r="E48" s="10">
        <f>2.5+B48</f>
        <v>1.5</v>
      </c>
      <c r="F48" s="9"/>
      <c r="G48" s="9">
        <f>C48/D48</f>
        <v>35.861299200000005</v>
      </c>
      <c r="H48" s="9">
        <v>1.014</v>
      </c>
      <c r="I48" s="11">
        <f>10*H48*(143.254*H48^3-648.67*H48^2+1125.805*H48-620.389)-G48</f>
        <v>0.36552512669675963</v>
      </c>
      <c r="J48" s="9"/>
      <c r="K48" s="12">
        <f t="shared" si="15"/>
        <v>8.999999999999897E-3</v>
      </c>
    </row>
    <row r="49" spans="1:11" x14ac:dyDescent="0.25">
      <c r="A49" s="8">
        <v>6</v>
      </c>
      <c r="B49" s="9">
        <v>-0.9</v>
      </c>
      <c r="C49" s="9">
        <f>E49*C48/D48</f>
        <v>57.378078720000005</v>
      </c>
      <c r="D49" s="9">
        <v>2.5</v>
      </c>
      <c r="E49" s="10">
        <f>2.5+B49</f>
        <v>1.6</v>
      </c>
      <c r="F49" s="9"/>
      <c r="G49" s="9">
        <f>C49/D49</f>
        <v>22.951231488000001</v>
      </c>
      <c r="H49" s="9">
        <v>1.0089999999999999</v>
      </c>
      <c r="I49" s="11">
        <f>10*H49*(143.254*H49^3-648.67*H49^2+1125.805*H49-620.389)-G49</f>
        <v>0.32050478323350617</v>
      </c>
      <c r="J49" s="9"/>
      <c r="K49" s="12">
        <f t="shared" ref="K49" si="16">H48-H49</f>
        <v>5.0000000000001155E-3</v>
      </c>
    </row>
    <row r="50" spans="1:11" x14ac:dyDescent="0.25">
      <c r="A50" s="8">
        <v>7</v>
      </c>
      <c r="B50" s="9">
        <v>-1.1000000000000001</v>
      </c>
      <c r="C50" s="9">
        <f>E50*C49/D49</f>
        <v>32.131724083199998</v>
      </c>
      <c r="D50" s="9">
        <v>2.5</v>
      </c>
      <c r="E50" s="10">
        <f>2.5+B50</f>
        <v>1.4</v>
      </c>
      <c r="F50" s="9"/>
      <c r="G50" s="9">
        <f>C50/D50</f>
        <v>12.852689633279999</v>
      </c>
      <c r="H50" s="9">
        <v>1.0049999999999999</v>
      </c>
      <c r="I50" s="11">
        <f>10*H50*(143.254*H50^3-648.67*H50^2+1125.805*H50-620.389)-G50</f>
        <v>6.8396444559082781E-2</v>
      </c>
      <c r="J50" s="9"/>
      <c r="K50" s="12">
        <f t="shared" ref="K50:K51" si="17">H49-H50</f>
        <v>4.0000000000000036E-3</v>
      </c>
    </row>
    <row r="51" spans="1:11" ht="15.75" thickBot="1" x14ac:dyDescent="0.3">
      <c r="A51" s="13">
        <v>8</v>
      </c>
      <c r="B51" s="14">
        <v>-2.5</v>
      </c>
      <c r="C51" s="14">
        <f>E51*C50/D50</f>
        <v>0</v>
      </c>
      <c r="D51" s="14">
        <v>2.5</v>
      </c>
      <c r="E51" s="15">
        <f>2.5+B51</f>
        <v>0</v>
      </c>
      <c r="F51" s="14"/>
      <c r="G51" s="14">
        <f>C51/D51</f>
        <v>0</v>
      </c>
      <c r="H51" s="14">
        <v>1</v>
      </c>
      <c r="I51" s="16">
        <f>10*H51*(143.254*H51^3-648.67*H51^2+1125.805*H51-620.389)-G51</f>
        <v>1.1368683772161603E-12</v>
      </c>
      <c r="J51" s="14"/>
      <c r="K51" s="17">
        <f t="shared" si="17"/>
        <v>4.9999999999998934E-3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Arkhipov</dc:creator>
  <cp:lastModifiedBy>Arkhipov</cp:lastModifiedBy>
  <dcterms:created xsi:type="dcterms:W3CDTF">2025-03-20T14:59:55Z</dcterms:created>
  <dcterms:modified xsi:type="dcterms:W3CDTF">2025-03-20T16:48:20Z</dcterms:modified>
</cp:coreProperties>
</file>